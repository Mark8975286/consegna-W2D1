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ste\OneDrive\Documenti\EPICODE\"/>
    </mc:Choice>
  </mc:AlternateContent>
  <xr:revisionPtr revIDLastSave="0" documentId="8_{FCDE504B-797A-452C-B0D2-AD8234CC2A2C}" xr6:coauthVersionLast="36" xr6:coauthVersionMax="36" xr10:uidLastSave="{00000000-0000-0000-0000-000000000000}"/>
  <bookViews>
    <workbookView xWindow="0" yWindow="0" windowWidth="21570" windowHeight="8835" xr2:uid="{00000000-000D-0000-FFFF-FFFF00000000}"/>
  </bookViews>
  <sheets>
    <sheet name="Campione_IC" sheetId="1" r:id="rId1"/>
  </sheets>
  <calcPr calcId="191029" iterate="1"/>
</workbook>
</file>

<file path=xl/calcChain.xml><?xml version="1.0" encoding="utf-8"?>
<calcChain xmlns="http://schemas.openxmlformats.org/spreadsheetml/2006/main">
  <c r="D26" i="1" l="1"/>
  <c r="P23" i="1"/>
  <c r="P22" i="1"/>
  <c r="P21" i="1"/>
  <c r="M23" i="1"/>
  <c r="M22" i="1"/>
  <c r="M21" i="1"/>
  <c r="J23" i="1"/>
  <c r="J22" i="1"/>
  <c r="J21" i="1"/>
  <c r="G23" i="1"/>
  <c r="G22" i="1"/>
  <c r="G21" i="1"/>
  <c r="D22" i="1"/>
  <c r="D23" i="1"/>
  <c r="D21" i="1"/>
  <c r="D14" i="1"/>
  <c r="D13" i="1"/>
  <c r="D12" i="1"/>
  <c r="D11" i="1"/>
  <c r="D5" i="1"/>
</calcChain>
</file>

<file path=xl/sharedStrings.xml><?xml version="1.0" encoding="utf-8"?>
<sst xmlns="http://schemas.openxmlformats.org/spreadsheetml/2006/main" count="46" uniqueCount="37">
  <si>
    <t>Esercizio - Intervallo di confidenza</t>
  </si>
  <si>
    <t>Valori del campione</t>
  </si>
  <si>
    <t>Calcoli</t>
  </si>
  <si>
    <t>Osservazione</t>
  </si>
  <si>
    <t>Dimensione campione</t>
  </si>
  <si>
    <t>Alpha</t>
  </si>
  <si>
    <t>Consegna</t>
  </si>
  <si>
    <t>1</t>
  </si>
  <si>
    <t>Calcola la media campionaria come stima puntuale con MEDIA.</t>
  </si>
  <si>
    <t>2</t>
  </si>
  <si>
    <t>Calcola il margine di errore al 95% e scrivi l'intervallo.</t>
  </si>
  <si>
    <t>3</t>
  </si>
  <si>
    <t>Interpreta a parole l'intervallo evitando l'errore comune.</t>
  </si>
  <si>
    <t>Nota</t>
  </si>
  <si>
    <t>In questo file i dati grezzi sono presenti in A5:A85.</t>
  </si>
  <si>
    <t>Livello di confidenza</t>
  </si>
  <si>
    <t>Deviazione standard</t>
  </si>
  <si>
    <t>Media Campionaria</t>
  </si>
  <si>
    <t xml:space="preserve">margine di errore </t>
  </si>
  <si>
    <t>limite inferiore</t>
  </si>
  <si>
    <t>limite superiore</t>
  </si>
  <si>
    <t>IC</t>
  </si>
  <si>
    <t xml:space="preserve">interpretazione </t>
  </si>
  <si>
    <t>Questo significa che ,se ripetessimo il campionamento molte volte e costruissimo un intervallo di confidenza</t>
  </si>
  <si>
    <t xml:space="preserve">per ognuno,circa il 95%di questi intervalliconterrebbe la vera media del campione </t>
  </si>
  <si>
    <t xml:space="preserve">Siamo confidenti al 95% che l'intervallo [50,04;53,96] contenga il vero valore della media della popolazione.  </t>
  </si>
  <si>
    <t>alpha 90%</t>
  </si>
  <si>
    <t>alpha 95%</t>
  </si>
  <si>
    <t>alpha 99%</t>
  </si>
  <si>
    <t>limite sup.</t>
  </si>
  <si>
    <t>limite inf.</t>
  </si>
  <si>
    <t>ampiezza</t>
  </si>
  <si>
    <t>esercitazione 4</t>
  </si>
  <si>
    <t>esercitazione 5</t>
  </si>
  <si>
    <t>considerazione:</t>
  </si>
  <si>
    <t>Più l'intervallo di confidenza si avvicina al 100% più il range è ampio e siamo sicuri che contenga il valore corretto,</t>
  </si>
  <si>
    <t>più il livello di confidenza si allontana dal 100% più il range si assottiglia e siamo meno certi che contenga il valore corretto.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</si>
</sst>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2" fillId="3" borderId="0" xfId="1" applyFont="1" applyFill="1"/>
    <xf numFmtId="0" fontId="2" fillId="0" borderId="0" xfId="1" applyFont="1"/>
    <xf numFmtId="2" fontId="0" fillId="0" borderId="0" xfId="1" applyNumberFormat="1" applyFont="1"/>
    <xf numFmtId="2" fontId="3" fillId="4" borderId="0" xfId="1" applyNumberFormat="1" applyFont="1" applyFill="1" applyAlignment="1">
      <alignment horizontal="center" vertical="center"/>
    </xf>
    <xf numFmtId="9" fontId="0" fillId="0" borderId="0" xfId="0" applyNumberFormat="1"/>
    <xf numFmtId="0" fontId="1" fillId="2" borderId="0" xfId="1" applyFont="1" applyFill="1" applyAlignment="1">
      <alignment horizontal="center" vertical="center"/>
    </xf>
    <xf numFmtId="0" fontId="2" fillId="3" borderId="0" xfId="1" applyFont="1" applyFill="1"/>
    <xf numFmtId="0" fontId="2" fillId="0" borderId="0" xfId="1" applyFont="1" applyFill="1"/>
    <xf numFmtId="2" fontId="0" fillId="0" borderId="0" xfId="0" applyNumberFormat="1"/>
    <xf numFmtId="9" fontId="0" fillId="0" borderId="0" xfId="2" applyFont="1"/>
    <xf numFmtId="0" fontId="2" fillId="0" borderId="0" xfId="0" applyFont="1"/>
  </cellXfs>
  <cellStyles count="3">
    <cellStyle name="Normal" xfId="1" xr:uid="{00000000-0005-0000-0000-000000000000}"/>
    <cellStyle name="Normale" xfId="0" builtinId="0"/>
    <cellStyle name="Percentual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"/>
  <sheetViews>
    <sheetView tabSelected="1" workbookViewId="0">
      <selection activeCell="D29" sqref="D29"/>
    </sheetView>
  </sheetViews>
  <sheetFormatPr defaultColWidth="8.875" defaultRowHeight="14.25"/>
  <cols>
    <col min="1" max="1" width="16" customWidth="1"/>
    <col min="3" max="3" width="28" customWidth="1"/>
    <col min="4" max="4" width="26" customWidth="1"/>
    <col min="5" max="5" width="14" customWidth="1"/>
    <col min="6" max="6" width="18.5" bestFit="1" customWidth="1"/>
    <col min="7" max="7" width="9.375" bestFit="1" customWidth="1"/>
  </cols>
  <sheetData>
    <row r="1" spans="1:16" ht="32.1" customHeight="1">
      <c r="A1" s="6" t="s">
        <v>0</v>
      </c>
      <c r="B1" s="6"/>
      <c r="C1" s="6"/>
      <c r="D1" s="6"/>
      <c r="E1" s="6"/>
      <c r="F1" s="6"/>
    </row>
    <row r="2" spans="1:16" ht="15">
      <c r="M2" s="7" t="s">
        <v>6</v>
      </c>
      <c r="N2" s="7"/>
      <c r="O2" s="7"/>
      <c r="P2" s="7"/>
    </row>
    <row r="3" spans="1:16" ht="15">
      <c r="A3" s="1" t="s">
        <v>1</v>
      </c>
      <c r="B3" s="1"/>
      <c r="C3" s="7" t="s">
        <v>2</v>
      </c>
      <c r="D3" s="7"/>
      <c r="E3" s="7"/>
      <c r="F3" s="7"/>
      <c r="M3" s="2" t="s">
        <v>7</v>
      </c>
      <c r="N3" t="s">
        <v>8</v>
      </c>
    </row>
    <row r="4" spans="1:16" ht="15">
      <c r="A4" s="4" t="s">
        <v>3</v>
      </c>
      <c r="M4" s="2" t="s">
        <v>9</v>
      </c>
      <c r="N4" t="s">
        <v>10</v>
      </c>
    </row>
    <row r="5" spans="1:16" ht="15">
      <c r="A5" s="3">
        <v>50.226791890560854</v>
      </c>
      <c r="C5" t="s">
        <v>17</v>
      </c>
      <c r="D5" s="3">
        <f>AVERAGE(A5:A85)</f>
        <v>52.000000000000014</v>
      </c>
      <c r="M5" s="2" t="s">
        <v>11</v>
      </c>
      <c r="N5" t="s">
        <v>12</v>
      </c>
    </row>
    <row r="6" spans="1:16" ht="15">
      <c r="A6" s="3">
        <v>49.929976818027036</v>
      </c>
      <c r="C6" t="s">
        <v>15</v>
      </c>
      <c r="D6" s="5">
        <v>0.95</v>
      </c>
      <c r="M6" s="2" t="s">
        <v>13</v>
      </c>
      <c r="N6" t="s">
        <v>14</v>
      </c>
    </row>
    <row r="7" spans="1:16">
      <c r="A7" s="3">
        <v>50.56441257177115</v>
      </c>
      <c r="C7" t="s">
        <v>16</v>
      </c>
      <c r="D7">
        <v>9</v>
      </c>
    </row>
    <row r="8" spans="1:16">
      <c r="A8" s="3">
        <v>58.942481756369347</v>
      </c>
      <c r="C8" t="s">
        <v>4</v>
      </c>
      <c r="D8">
        <v>81</v>
      </c>
    </row>
    <row r="9" spans="1:16">
      <c r="A9" s="3">
        <v>50.396784945549271</v>
      </c>
      <c r="C9" t="s">
        <v>5</v>
      </c>
      <c r="D9" s="5">
        <v>0.05</v>
      </c>
    </row>
    <row r="10" spans="1:16" ht="15">
      <c r="A10" s="3">
        <v>36.286379359949052</v>
      </c>
      <c r="C10" s="2"/>
      <c r="D10" s="3"/>
    </row>
    <row r="11" spans="1:16" ht="15">
      <c r="A11" s="3">
        <v>55.134435879789187</v>
      </c>
      <c r="C11" s="2" t="s">
        <v>18</v>
      </c>
      <c r="D11" s="3">
        <f>CONFIDENCE(D9,D7,D8)</f>
        <v>1.9599639845400536</v>
      </c>
    </row>
    <row r="12" spans="1:16" ht="15">
      <c r="A12" s="3">
        <v>48.957182072262427</v>
      </c>
      <c r="C12" s="2" t="s">
        <v>19</v>
      </c>
      <c r="D12" s="3">
        <f>D5-D11</f>
        <v>50.040036015459961</v>
      </c>
    </row>
    <row r="13" spans="1:16" ht="15">
      <c r="A13" s="3">
        <v>49.476150766501469</v>
      </c>
      <c r="C13" s="8" t="s">
        <v>20</v>
      </c>
      <c r="D13" s="9">
        <f>D5+D11</f>
        <v>53.959963984540067</v>
      </c>
    </row>
    <row r="14" spans="1:16" ht="15">
      <c r="A14" s="3">
        <v>52.904881915646136</v>
      </c>
      <c r="C14" s="8" t="s">
        <v>21</v>
      </c>
      <c r="D14" t="str">
        <f>"["&amp;TEXT(D12,"0,00")&amp;";"&amp;TEXT(D13,"0,00")&amp;"]"</f>
        <v>[50,04;53,96]</v>
      </c>
    </row>
    <row r="15" spans="1:16" ht="15">
      <c r="A15" s="3">
        <v>54.104090382977908</v>
      </c>
      <c r="C15" s="7"/>
      <c r="D15" s="7"/>
      <c r="E15" s="7"/>
      <c r="F15" s="7"/>
    </row>
    <row r="16" spans="1:16" ht="15">
      <c r="A16" s="3">
        <v>63.697318749681642</v>
      </c>
      <c r="C16" s="2" t="s">
        <v>22</v>
      </c>
      <c r="D16" t="s">
        <v>25</v>
      </c>
    </row>
    <row r="17" spans="1:16" ht="15">
      <c r="A17" s="3">
        <v>58.475344998307918</v>
      </c>
      <c r="C17" s="2"/>
      <c r="D17" t="s">
        <v>23</v>
      </c>
    </row>
    <row r="18" spans="1:16" ht="15">
      <c r="A18" s="3">
        <v>52.849485376484303</v>
      </c>
      <c r="C18" s="2"/>
      <c r="D18" t="s">
        <v>24</v>
      </c>
    </row>
    <row r="19" spans="1:16" ht="15">
      <c r="A19" s="3">
        <v>44.10541817230002</v>
      </c>
      <c r="C19" s="2" t="s">
        <v>32</v>
      </c>
    </row>
    <row r="20" spans="1:16">
      <c r="A20" s="3">
        <v>41.258740162316862</v>
      </c>
    </row>
    <row r="21" spans="1:16">
      <c r="A21" s="3">
        <v>54.248767012923615</v>
      </c>
      <c r="C21" t="s">
        <v>26</v>
      </c>
      <c r="D21" s="10">
        <f>1-0.9</f>
        <v>9.9999999999999978E-2</v>
      </c>
      <c r="F21" t="s">
        <v>18</v>
      </c>
      <c r="G21" s="9">
        <f>_xlfn.CONFIDENCE.NORM(D21,D7,D8)</f>
        <v>1.6448536269514715</v>
      </c>
      <c r="I21" t="s">
        <v>29</v>
      </c>
      <c r="J21" s="9">
        <f>D5+G21</f>
        <v>53.644853626951488</v>
      </c>
      <c r="L21" t="s">
        <v>30</v>
      </c>
      <c r="M21" s="9">
        <f>D5-G21</f>
        <v>50.355146373048541</v>
      </c>
      <c r="O21" t="s">
        <v>31</v>
      </c>
      <c r="P21" s="9">
        <f>J21-M21</f>
        <v>3.2897072539029466</v>
      </c>
    </row>
    <row r="22" spans="1:16">
      <c r="A22" s="3">
        <v>65.21699332041851</v>
      </c>
      <c r="C22" t="s">
        <v>27</v>
      </c>
      <c r="D22" s="10">
        <f>1-0.95</f>
        <v>5.0000000000000044E-2</v>
      </c>
      <c r="F22" t="s">
        <v>18</v>
      </c>
      <c r="G22" s="9">
        <f>_xlfn.CONFIDENCE.NORM(D22,D7,D8)</f>
        <v>1.9599639845400536</v>
      </c>
      <c r="I22" t="s">
        <v>29</v>
      </c>
      <c r="J22" s="9">
        <f>D5+G22</f>
        <v>53.959963984540067</v>
      </c>
      <c r="L22" t="s">
        <v>30</v>
      </c>
      <c r="M22" s="9">
        <f>D5-G22</f>
        <v>50.040036015459961</v>
      </c>
      <c r="O22" t="s">
        <v>31</v>
      </c>
      <c r="P22" s="9">
        <f>J22-M22</f>
        <v>3.9199279690801063</v>
      </c>
    </row>
    <row r="23" spans="1:16">
      <c r="A23" s="3">
        <v>52.140235427658659</v>
      </c>
      <c r="C23" t="s">
        <v>28</v>
      </c>
      <c r="D23" s="10">
        <f>1-0.99</f>
        <v>1.0000000000000009E-2</v>
      </c>
      <c r="F23" t="s">
        <v>18</v>
      </c>
      <c r="G23" s="9">
        <f>_xlfn.CONFIDENCE.NORM(D23,D7,D8)</f>
        <v>2.5758293035488999</v>
      </c>
      <c r="I23" t="s">
        <v>29</v>
      </c>
      <c r="J23" s="9">
        <f>D5+G23</f>
        <v>54.575829303548915</v>
      </c>
      <c r="L23" t="s">
        <v>30</v>
      </c>
      <c r="M23" s="9">
        <f>D5-G23</f>
        <v>49.424170696451114</v>
      </c>
      <c r="O23" t="s">
        <v>31</v>
      </c>
      <c r="P23" s="9">
        <f>J23-M23</f>
        <v>5.1516586070978008</v>
      </c>
    </row>
    <row r="24" spans="1:16">
      <c r="A24" s="3">
        <v>50.615842670958195</v>
      </c>
    </row>
    <row r="25" spans="1:16" ht="15">
      <c r="A25" s="3">
        <v>57.189117715029539</v>
      </c>
      <c r="C25" s="11" t="s">
        <v>33</v>
      </c>
    </row>
    <row r="26" spans="1:16">
      <c r="A26" s="3">
        <v>36.737661317417022</v>
      </c>
      <c r="D26" s="9">
        <f>_xlfn.CONFIDENCE.NORM(D9,D7,324)</f>
        <v>0.9799819922700268</v>
      </c>
    </row>
    <row r="27" spans="1:16">
      <c r="A27" s="3">
        <v>48.494241867318117</v>
      </c>
    </row>
    <row r="28" spans="1:16" ht="15">
      <c r="A28" s="3">
        <v>56.76250156112075</v>
      </c>
      <c r="C28" s="11" t="s">
        <v>34</v>
      </c>
      <c r="D28" t="s">
        <v>35</v>
      </c>
    </row>
    <row r="29" spans="1:16">
      <c r="A29" s="3">
        <v>60.708342916322337</v>
      </c>
      <c r="D29" t="s">
        <v>36</v>
      </c>
    </row>
    <row r="30" spans="1:16">
      <c r="A30" s="3">
        <v>49.232308051399457</v>
      </c>
    </row>
    <row r="31" spans="1:16">
      <c r="A31" s="3">
        <v>55.590594470263071</v>
      </c>
    </row>
    <row r="32" spans="1:16">
      <c r="A32" s="3">
        <v>54.268043423133321</v>
      </c>
    </row>
    <row r="33" spans="1:1">
      <c r="A33" s="3">
        <v>59.770122547020328</v>
      </c>
    </row>
    <row r="34" spans="1:1">
      <c r="A34" s="3">
        <v>40.243442443591881</v>
      </c>
    </row>
    <row r="35" spans="1:1">
      <c r="A35" s="3">
        <v>57.56485331671076</v>
      </c>
    </row>
    <row r="36" spans="1:1">
      <c r="A36" s="3">
        <v>36.109536623799862</v>
      </c>
    </row>
    <row r="37" spans="1:1">
      <c r="A37" s="3">
        <v>24.722186211115726</v>
      </c>
    </row>
    <row r="38" spans="1:1">
      <c r="A38" s="3">
        <v>45.459331262425799</v>
      </c>
    </row>
    <row r="39" spans="1:1">
      <c r="A39" s="3">
        <v>42.277050756790402</v>
      </c>
    </row>
    <row r="40" spans="1:1">
      <c r="A40" s="3">
        <v>60.735207324468298</v>
      </c>
    </row>
    <row r="41" spans="1:1">
      <c r="A41" s="3">
        <v>58.553937907835945</v>
      </c>
    </row>
    <row r="42" spans="1:1">
      <c r="A42" s="3">
        <v>39.15302040292223</v>
      </c>
    </row>
    <row r="43" spans="1:1">
      <c r="A43" s="3">
        <v>60.440065714110027</v>
      </c>
    </row>
    <row r="44" spans="1:1">
      <c r="A44" s="3">
        <v>41.387090055799575</v>
      </c>
    </row>
    <row r="45" spans="1:1">
      <c r="A45" s="3">
        <v>50.822687728490145</v>
      </c>
    </row>
    <row r="46" spans="1:1">
      <c r="A46" s="3">
        <v>48.683555002704097</v>
      </c>
    </row>
    <row r="47" spans="1:1">
      <c r="A47" s="3">
        <v>52.889791192960523</v>
      </c>
    </row>
    <row r="48" spans="1:1">
      <c r="A48" s="3">
        <v>60.144158796196066</v>
      </c>
    </row>
    <row r="49" spans="1:1">
      <c r="A49" s="3">
        <v>58.287626747943136</v>
      </c>
    </row>
    <row r="50" spans="1:1">
      <c r="A50" s="3">
        <v>55.315396886806568</v>
      </c>
    </row>
    <row r="51" spans="1:1">
      <c r="A51" s="3">
        <v>58.406445475682261</v>
      </c>
    </row>
    <row r="52" spans="1:1">
      <c r="A52" s="3">
        <v>56.640219649852469</v>
      </c>
    </row>
    <row r="53" spans="1:1">
      <c r="A53" s="3">
        <v>45.252328701794092</v>
      </c>
    </row>
    <row r="54" spans="1:1">
      <c r="A54" s="3">
        <v>44.321236319486793</v>
      </c>
    </row>
    <row r="55" spans="1:1">
      <c r="A55" s="3">
        <v>46.869814941349929</v>
      </c>
    </row>
    <row r="56" spans="1:1">
      <c r="A56" s="3">
        <v>56.854841341588774</v>
      </c>
    </row>
    <row r="57" spans="1:1">
      <c r="A57" s="3">
        <v>49.1345906617778</v>
      </c>
    </row>
    <row r="58" spans="1:1">
      <c r="A58" s="3">
        <v>75.772494316589103</v>
      </c>
    </row>
    <row r="59" spans="1:1">
      <c r="A59" s="3">
        <v>43.271309626006577</v>
      </c>
    </row>
    <row r="60" spans="1:1">
      <c r="A60" s="3">
        <v>40.391241984616521</v>
      </c>
    </row>
    <row r="61" spans="1:1">
      <c r="A61" s="3">
        <v>59.627415171962838</v>
      </c>
    </row>
    <row r="62" spans="1:1">
      <c r="A62" s="3">
        <v>66.358063169849004</v>
      </c>
    </row>
    <row r="63" spans="1:1">
      <c r="A63" s="3">
        <v>56.920422613214278</v>
      </c>
    </row>
    <row r="64" spans="1:1">
      <c r="A64" s="3">
        <v>60.32114633858059</v>
      </c>
    </row>
    <row r="65" spans="1:1">
      <c r="A65" s="3">
        <v>66.404367617701652</v>
      </c>
    </row>
    <row r="66" spans="1:1">
      <c r="A66" s="3">
        <v>50.742505973776872</v>
      </c>
    </row>
    <row r="67" spans="1:1">
      <c r="A67" s="3">
        <v>37.052741621384754</v>
      </c>
    </row>
    <row r="68" spans="1:1">
      <c r="A68" s="3">
        <v>46.230016979357359</v>
      </c>
    </row>
    <row r="69" spans="1:1">
      <c r="A69" s="3">
        <v>61.527209942183703</v>
      </c>
    </row>
    <row r="70" spans="1:1">
      <c r="A70" s="3">
        <v>36.839303448539432</v>
      </c>
    </row>
    <row r="71" spans="1:1">
      <c r="A71" s="3">
        <v>52.05653150907149</v>
      </c>
    </row>
    <row r="72" spans="1:1">
      <c r="A72" s="3">
        <v>54.319796388905814</v>
      </c>
    </row>
    <row r="73" spans="1:1">
      <c r="A73" s="3">
        <v>48.46009452043203</v>
      </c>
    </row>
    <row r="74" spans="1:1">
      <c r="A74" s="3">
        <v>59.165487686303827</v>
      </c>
    </row>
    <row r="75" spans="1:1">
      <c r="A75" s="3">
        <v>57.69391926295944</v>
      </c>
    </row>
    <row r="76" spans="1:1">
      <c r="A76" s="3">
        <v>75.624714438399081</v>
      </c>
    </row>
    <row r="77" spans="1:1">
      <c r="A77" s="3">
        <v>58.097608137863816</v>
      </c>
    </row>
    <row r="78" spans="1:1">
      <c r="A78" s="3">
        <v>45.433446791508175</v>
      </c>
    </row>
    <row r="79" spans="1:1">
      <c r="A79" s="3">
        <v>45.923850632932151</v>
      </c>
    </row>
    <row r="80" spans="1:1">
      <c r="A80" s="3">
        <v>43.14472109745698</v>
      </c>
    </row>
    <row r="81" spans="1:1">
      <c r="A81" s="3">
        <v>61.520800479061776</v>
      </c>
    </row>
    <row r="82" spans="1:1">
      <c r="A82" s="3">
        <v>45.87198092766301</v>
      </c>
    </row>
    <row r="83" spans="1:1">
      <c r="A83" s="3">
        <v>50.987334668583998</v>
      </c>
    </row>
    <row r="84" spans="1:1">
      <c r="A84" s="3">
        <v>59.429929402684039</v>
      </c>
    </row>
    <row r="85" spans="1:1">
      <c r="A85" s="3">
        <v>44.258481666731065</v>
      </c>
    </row>
  </sheetData>
  <mergeCells count="4">
    <mergeCell ref="A1:F1"/>
    <mergeCell ref="C3:F3"/>
    <mergeCell ref="C15:F15"/>
    <mergeCell ref="M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Campione_IC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</dc:creator>
  <cp:lastModifiedBy>maste</cp:lastModifiedBy>
  <dcterms:created xsi:type="dcterms:W3CDTF">2026-07-11T14:41:49Z</dcterms:created>
  <dcterms:modified xsi:type="dcterms:W3CDTF">2026-07-19T15:47:24Z</dcterms:modified>
</cp:coreProperties>
</file>